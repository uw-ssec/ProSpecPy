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izphillips/Desktop/"/>
    </mc:Choice>
  </mc:AlternateContent>
  <xr:revisionPtr revIDLastSave="0" documentId="8_{45527808-019D-B54A-B54A-AFD272707868}" xr6:coauthVersionLast="47" xr6:coauthVersionMax="47" xr10:uidLastSave="{00000000-0000-0000-0000-000000000000}"/>
  <bookViews>
    <workbookView xWindow="1980" yWindow="2600" windowWidth="26440" windowHeight="14280" xr2:uid="{99EE4247-045F-624B-B70F-060C72955150}"/>
  </bookViews>
  <sheets>
    <sheet name="pH6(2)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" l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B8" i="1"/>
  <c r="G7" i="1"/>
  <c r="G6" i="1"/>
  <c r="G5" i="1"/>
  <c r="G4" i="1"/>
  <c r="G3" i="1"/>
  <c r="B3" i="1"/>
  <c r="G2" i="1"/>
</calcChain>
</file>

<file path=xl/sharedStrings.xml><?xml version="1.0" encoding="utf-8"?>
<sst xmlns="http://schemas.openxmlformats.org/spreadsheetml/2006/main" count="8" uniqueCount="8">
  <si>
    <t>AgAgCL to SHE (Sat KCl)</t>
  </si>
  <si>
    <t xml:space="preserve">Ag/AgCl to SHE </t>
  </si>
  <si>
    <t>Max heights</t>
  </si>
  <si>
    <t>mV vs SHE</t>
  </si>
  <si>
    <t>mV vs Ag/AgCl</t>
  </si>
  <si>
    <t>SCE to SHE (sat KCl)</t>
  </si>
  <si>
    <t>#</t>
  </si>
  <si>
    <t>AgAgCl to SCE (sat KCl)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</si>
</sst>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1" applyFill="1"/>
    <xf numFmtId="0" fontId="4" fillId="3" borderId="0" xfId="0" applyFont="1" applyFill="1"/>
    <xf numFmtId="0" fontId="0" fillId="4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164" fontId="1" fillId="0" borderId="0" xfId="0" applyNumberFormat="1" applyFont="1" applyFill="1"/>
    <xf numFmtId="1" fontId="0" fillId="0" borderId="0" xfId="0" applyNumberFormat="1" applyFill="1"/>
    <xf numFmtId="165" fontId="0" fillId="0" borderId="0" xfId="0" applyNumberFormat="1" applyFill="1"/>
    <xf numFmtId="0" fontId="4" fillId="0" borderId="0" xfId="0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zphillips/Desktop/Oxford/Hyd%20titrations/Hyd2%20oxidative%20titration%20pH6%20%20SM21651-3%20Liz%20-%20Copy(AutoRecovered).xlsx" TargetMode="External"/><Relationship Id="rId1" Type="http://schemas.openxmlformats.org/officeDocument/2006/relationships/externalLinkPath" Target="Oxford/Hyd%20titrations/Hyd2%20oxidative%20titration%20pH6%20%20SM21651-3%20Liz%20-%20Copy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 runthru pH 6"/>
      <sheetName val="pH6(2)"/>
      <sheetName val="Sheet2"/>
      <sheetName val="normalised vCO"/>
    </sheetNames>
    <sheetDataSet>
      <sheetData sheetId="0"/>
      <sheetData sheetId="1">
        <row r="1">
          <cell r="I1">
            <v>1957.2075299999999</v>
          </cell>
          <cell r="L1">
            <v>2054</v>
          </cell>
          <cell r="O1">
            <v>1937.90942</v>
          </cell>
          <cell r="Q1">
            <v>1946</v>
          </cell>
          <cell r="S1">
            <v>2074</v>
          </cell>
          <cell r="T1">
            <v>2084</v>
          </cell>
          <cell r="X1">
            <v>1952</v>
          </cell>
          <cell r="Y1">
            <v>2052</v>
          </cell>
          <cell r="Z1">
            <v>1936</v>
          </cell>
          <cell r="AB1">
            <v>1868</v>
          </cell>
        </row>
        <row r="2">
          <cell r="G2">
            <v>-16.199999999999989</v>
          </cell>
          <cell r="H2">
            <v>-250</v>
          </cell>
          <cell r="L2">
            <v>6.8199999999999997E-3</v>
          </cell>
          <cell r="O2">
            <v>1.626E-2</v>
          </cell>
          <cell r="Q2">
            <v>9.3399999999999997E-2</v>
          </cell>
          <cell r="S2">
            <v>1.128E-2</v>
          </cell>
          <cell r="T2">
            <v>2.1499999999999998E-2</v>
          </cell>
        </row>
        <row r="3">
          <cell r="G3">
            <v>-116.19999999999999</v>
          </cell>
          <cell r="H3">
            <v>-350</v>
          </cell>
          <cell r="O3">
            <v>6.0600000000000003E-3</v>
          </cell>
          <cell r="Q3">
            <v>8.6679999999999993E-2</v>
          </cell>
          <cell r="R3">
            <v>1.3509999999999999E-2</v>
          </cell>
          <cell r="T3">
            <v>2.0590000000000001E-2</v>
          </cell>
          <cell r="U3">
            <v>1.265E-2</v>
          </cell>
          <cell r="AB3">
            <v>9.1599999999999997E-3</v>
          </cell>
        </row>
        <row r="4">
          <cell r="G4">
            <v>-141.19999999999999</v>
          </cell>
          <cell r="H4">
            <v>-375</v>
          </cell>
          <cell r="L4">
            <v>1.078E-2</v>
          </cell>
          <cell r="O4">
            <v>3.9199999999999999E-3</v>
          </cell>
          <cell r="Q4">
            <v>7.596E-2</v>
          </cell>
          <cell r="R4">
            <v>1.8929999999999999E-2</v>
          </cell>
          <cell r="T4">
            <v>2.104E-2</v>
          </cell>
          <cell r="U4">
            <v>1.7520000000000001E-2</v>
          </cell>
        </row>
        <row r="5">
          <cell r="G5">
            <v>-166.2</v>
          </cell>
          <cell r="H5">
            <v>-400</v>
          </cell>
          <cell r="O5">
            <v>5.0800000000000003E-3</v>
          </cell>
          <cell r="Q5">
            <v>6.5290000000000001E-2</v>
          </cell>
          <cell r="R5">
            <v>3.27E-2</v>
          </cell>
          <cell r="T5">
            <v>2.0129999999999999E-2</v>
          </cell>
          <cell r="U5">
            <v>1.8380000000000001E-2</v>
          </cell>
          <cell r="X5">
            <v>5.0899999999999999E-3</v>
          </cell>
          <cell r="AB5">
            <v>1.0200000000000001E-2</v>
          </cell>
        </row>
        <row r="6">
          <cell r="G6">
            <v>-191.2</v>
          </cell>
          <cell r="H6">
            <v>-425</v>
          </cell>
          <cell r="O6">
            <v>1.5E-3</v>
          </cell>
          <cell r="Q6">
            <v>4.0210000000000003E-2</v>
          </cell>
          <cell r="R6">
            <v>4.1689999999999998E-2</v>
          </cell>
          <cell r="S6">
            <v>1.1299999999999999E-2</v>
          </cell>
          <cell r="T6">
            <v>1.9709999999999998E-2</v>
          </cell>
          <cell r="U6">
            <v>1.6140000000000002E-2</v>
          </cell>
          <cell r="X6">
            <v>5.1399999999999996E-3</v>
          </cell>
        </row>
        <row r="7">
          <cell r="G7">
            <v>-291.2</v>
          </cell>
          <cell r="H7">
            <v>-525</v>
          </cell>
          <cell r="O7">
            <v>3.7399999999999998E-3</v>
          </cell>
          <cell r="Q7">
            <v>2.1260000000000001E-2</v>
          </cell>
          <cell r="R7">
            <v>4.632E-2</v>
          </cell>
          <cell r="T7">
            <v>1.5270000000000001E-2</v>
          </cell>
          <cell r="X7">
            <v>1.3050000000000001E-2</v>
          </cell>
          <cell r="AB7">
            <v>5.3800000000000002E-3</v>
          </cell>
        </row>
        <row r="8">
          <cell r="G8">
            <v>-391.2</v>
          </cell>
          <cell r="H8">
            <v>-625</v>
          </cell>
          <cell r="O8">
            <v>4.6899999999999997E-3</v>
          </cell>
          <cell r="Q8">
            <v>2.5430000000000001E-2</v>
          </cell>
          <cell r="R8">
            <v>4.6559999999999997E-2</v>
          </cell>
          <cell r="S8">
            <v>8.4600000000000005E-3</v>
          </cell>
          <cell r="T8">
            <v>1.455E-2</v>
          </cell>
          <cell r="X8">
            <v>1.371E-2</v>
          </cell>
          <cell r="AB8">
            <v>2.9299999999999999E-3</v>
          </cell>
        </row>
        <row r="9">
          <cell r="G9">
            <v>-491.2</v>
          </cell>
          <cell r="H9">
            <v>-725</v>
          </cell>
          <cell r="O9">
            <v>1.9499999999999999E-3</v>
          </cell>
          <cell r="Q9">
            <v>2.496E-2</v>
          </cell>
          <cell r="R9">
            <v>5.0560000000000001E-2</v>
          </cell>
          <cell r="S9">
            <v>9.4999999999999998E-3</v>
          </cell>
          <cell r="T9">
            <v>1.487E-2</v>
          </cell>
          <cell r="X9">
            <v>1.026E-2</v>
          </cell>
        </row>
        <row r="10">
          <cell r="G10">
            <v>-591.20000000000005</v>
          </cell>
          <cell r="H10">
            <v>-825</v>
          </cell>
          <cell r="O10">
            <v>4.3800000000000002E-3</v>
          </cell>
          <cell r="Q10">
            <v>2.044E-2</v>
          </cell>
          <cell r="R10">
            <v>4.666E-2</v>
          </cell>
          <cell r="S10">
            <v>1.123E-2</v>
          </cell>
          <cell r="T10">
            <v>1.7180000000000001E-2</v>
          </cell>
          <cell r="X10">
            <v>1.3809999999999999E-2</v>
          </cell>
        </row>
        <row r="11">
          <cell r="G11">
            <v>-691.2</v>
          </cell>
          <cell r="H11">
            <v>-925</v>
          </cell>
          <cell r="O11">
            <v>8.2900000000000005E-3</v>
          </cell>
          <cell r="Q11">
            <v>1.6619999999999999E-2</v>
          </cell>
          <cell r="R11">
            <v>4.6580000000000003E-2</v>
          </cell>
          <cell r="S11">
            <v>9.8600000000000007E-3</v>
          </cell>
          <cell r="T11">
            <v>1.316E-2</v>
          </cell>
          <cell r="X11">
            <v>1.5990000000000001E-2</v>
          </cell>
        </row>
        <row r="12">
          <cell r="G12">
            <v>-791.2</v>
          </cell>
          <cell r="H12">
            <v>-1025</v>
          </cell>
          <cell r="O12">
            <v>8.9499999999999996E-3</v>
          </cell>
          <cell r="Q12">
            <v>1.6629999999999999E-2</v>
          </cell>
          <cell r="R12">
            <v>4.4830000000000002E-2</v>
          </cell>
          <cell r="S12">
            <v>1.055E-2</v>
          </cell>
          <cell r="T12">
            <v>1.1979999999999999E-2</v>
          </cell>
          <cell r="X12">
            <v>1.7100000000000001E-2</v>
          </cell>
        </row>
        <row r="13">
          <cell r="G13">
            <v>-91.199999999999989</v>
          </cell>
          <cell r="H13">
            <v>-325</v>
          </cell>
          <cell r="Q13">
            <v>2.7220000000000001E-2</v>
          </cell>
          <cell r="R13">
            <v>5.6090000000000001E-2</v>
          </cell>
          <cell r="S13">
            <v>9.2999999999999992E-3</v>
          </cell>
          <cell r="T13">
            <v>1.881E-2</v>
          </cell>
          <cell r="U13">
            <v>5.4599999999999996E-3</v>
          </cell>
        </row>
        <row r="14">
          <cell r="G14">
            <v>8.8000000000000114</v>
          </cell>
          <cell r="H14">
            <v>-225</v>
          </cell>
          <cell r="O14">
            <v>1.489E-2</v>
          </cell>
          <cell r="Q14">
            <v>0.10093000000000001</v>
          </cell>
          <cell r="S14">
            <v>1.404E-2</v>
          </cell>
          <cell r="T14">
            <v>2.2700000000000001E-2</v>
          </cell>
          <cell r="X14">
            <v>8.0700000000000008E-3</v>
          </cell>
        </row>
        <row r="15">
          <cell r="G15">
            <v>233.8</v>
          </cell>
        </row>
        <row r="16">
          <cell r="G16">
            <v>233.8</v>
          </cell>
        </row>
        <row r="17">
          <cell r="G17">
            <v>233.8</v>
          </cell>
        </row>
        <row r="18">
          <cell r="G18">
            <v>233.8</v>
          </cell>
        </row>
        <row r="19">
          <cell r="G19">
            <v>233.8</v>
          </cell>
        </row>
        <row r="20">
          <cell r="G20">
            <v>233.8</v>
          </cell>
        </row>
        <row r="21">
          <cell r="G21">
            <v>233.8</v>
          </cell>
        </row>
        <row r="22">
          <cell r="G22">
            <v>233.8</v>
          </cell>
        </row>
        <row r="23">
          <cell r="G23">
            <v>233.8</v>
          </cell>
        </row>
        <row r="24">
          <cell r="G24">
            <v>233.8</v>
          </cell>
        </row>
        <row r="25">
          <cell r="G25">
            <v>233.8</v>
          </cell>
        </row>
        <row r="26">
          <cell r="G26">
            <v>233.8</v>
          </cell>
        </row>
        <row r="27">
          <cell r="G27">
            <v>233.8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1AD6-BE89-234C-8C49-B1B718BD3DBC}">
  <dimension ref="A1:AZ100"/>
  <sheetViews>
    <sheetView tabSelected="1" zoomScale="60" zoomScaleNormal="60" workbookViewId="0">
      <selection activeCell="A49" sqref="A49:D65"/>
    </sheetView>
  </sheetViews>
  <sheetFormatPr baseColWidth="10" defaultColWidth="8.83203125" defaultRowHeight="15" x14ac:dyDescent="0.2"/>
  <cols>
    <col min="1" max="1" width="22" bestFit="1" customWidth="1"/>
    <col min="3" max="3" width="24.5" bestFit="1" customWidth="1"/>
    <col min="4" max="4" width="11" bestFit="1" customWidth="1"/>
    <col min="5" max="5" width="1.5" customWidth="1"/>
    <col min="6" max="6" width="14" style="4" bestFit="1" customWidth="1"/>
    <col min="7" max="7" width="14" style="4" customWidth="1"/>
    <col min="8" max="8" width="12.1640625" style="4" bestFit="1" customWidth="1"/>
    <col min="9" max="9" width="8.83203125" style="6"/>
    <col min="10" max="14" width="8.83203125" style="4"/>
    <col min="15" max="15" width="8.83203125" style="6"/>
    <col min="16" max="16" width="8.83203125" style="4"/>
    <col min="17" max="17" width="8.83203125" style="6"/>
    <col min="18" max="22" width="8.83203125" style="4"/>
    <col min="23" max="23" width="10" style="4" bestFit="1" customWidth="1"/>
    <col min="24" max="24" width="14" style="4" bestFit="1" customWidth="1"/>
    <col min="26" max="26" width="8.83203125" style="4"/>
    <col min="27" max="38" width="8.83203125" style="2"/>
  </cols>
  <sheetData>
    <row r="1" spans="1:42" x14ac:dyDescent="0.2">
      <c r="A1" t="s">
        <v>0</v>
      </c>
      <c r="B1">
        <v>199</v>
      </c>
      <c r="C1" s="8" t="s">
        <v>1</v>
      </c>
      <c r="D1" s="8">
        <v>233.8</v>
      </c>
      <c r="E1" s="8"/>
      <c r="F1" s="9" t="s">
        <v>2</v>
      </c>
      <c r="G1" s="9" t="s">
        <v>3</v>
      </c>
      <c r="H1" s="9" t="s">
        <v>4</v>
      </c>
      <c r="I1" s="10">
        <v>1957.2075299999999</v>
      </c>
      <c r="J1" s="10">
        <v>2091.9853899999998</v>
      </c>
      <c r="K1" s="10">
        <v>1978.6687400000001</v>
      </c>
      <c r="L1" s="10">
        <v>2054</v>
      </c>
      <c r="M1" s="10">
        <v>2099.0317399999999</v>
      </c>
      <c r="N1" s="10">
        <v>2076</v>
      </c>
      <c r="O1" s="10">
        <v>1937.90942</v>
      </c>
      <c r="P1" s="10">
        <v>2058</v>
      </c>
      <c r="Q1" s="10">
        <v>1946</v>
      </c>
      <c r="R1" s="10">
        <v>1965</v>
      </c>
      <c r="S1" s="10">
        <v>2074</v>
      </c>
      <c r="T1" s="10">
        <v>2084</v>
      </c>
      <c r="U1" s="10">
        <v>1909.3</v>
      </c>
      <c r="V1" s="10">
        <v>1907.6</v>
      </c>
      <c r="W1" s="10">
        <v>2063</v>
      </c>
      <c r="X1" s="10">
        <v>1952</v>
      </c>
      <c r="Y1" s="10">
        <v>2052</v>
      </c>
      <c r="Z1" s="10">
        <v>1936</v>
      </c>
      <c r="AA1" s="10">
        <v>2091</v>
      </c>
      <c r="AB1" s="8">
        <v>1868</v>
      </c>
      <c r="AC1" s="8">
        <v>1991</v>
      </c>
      <c r="AD1" s="8">
        <v>2062</v>
      </c>
      <c r="AE1" s="8">
        <v>1914</v>
      </c>
      <c r="AF1" s="11">
        <v>2122</v>
      </c>
      <c r="AG1" s="11"/>
      <c r="AH1" s="11"/>
      <c r="AI1" s="11"/>
      <c r="AJ1" s="11"/>
      <c r="AK1" s="11"/>
      <c r="AL1" s="11"/>
      <c r="AM1" s="11"/>
      <c r="AN1" s="2"/>
      <c r="AO1" s="2"/>
      <c r="AP1" s="2"/>
    </row>
    <row r="2" spans="1:42" x14ac:dyDescent="0.2">
      <c r="A2" s="3" t="s">
        <v>5</v>
      </c>
      <c r="B2">
        <v>241</v>
      </c>
      <c r="C2" s="8"/>
      <c r="D2" s="8" t="s">
        <v>6</v>
      </c>
      <c r="E2" s="8"/>
      <c r="F2" s="9"/>
      <c r="G2" s="12">
        <f>H2+$D$1-$D$3</f>
        <v>-16.199999999999989</v>
      </c>
      <c r="H2" s="9">
        <v>-250</v>
      </c>
      <c r="I2" s="8"/>
      <c r="J2" s="8"/>
      <c r="K2" s="8"/>
      <c r="L2" s="8">
        <v>6.8199999999999997E-3</v>
      </c>
      <c r="M2" s="8"/>
      <c r="N2" s="8"/>
      <c r="O2" s="8">
        <v>1.626E-2</v>
      </c>
      <c r="P2" s="8"/>
      <c r="Q2" s="8">
        <v>9.3399999999999997E-2</v>
      </c>
      <c r="R2" s="8"/>
      <c r="S2" s="8">
        <v>1.128E-2</v>
      </c>
      <c r="T2" s="8">
        <v>2.1499999999999998E-2</v>
      </c>
      <c r="U2" s="8"/>
      <c r="V2" s="8"/>
      <c r="W2" s="13"/>
      <c r="X2" s="14"/>
      <c r="Y2" s="8"/>
      <c r="Z2" s="8"/>
      <c r="AA2" s="8"/>
      <c r="AB2" s="8"/>
      <c r="AC2" s="8"/>
      <c r="AD2" s="8"/>
      <c r="AE2" s="11"/>
      <c r="AF2" s="11"/>
      <c r="AG2" s="11"/>
      <c r="AH2" s="11"/>
      <c r="AI2" s="11"/>
      <c r="AJ2" s="11"/>
      <c r="AK2" s="11"/>
      <c r="AL2" s="11"/>
      <c r="AM2" s="8"/>
    </row>
    <row r="3" spans="1:42" x14ac:dyDescent="0.2">
      <c r="A3" s="3" t="s">
        <v>7</v>
      </c>
      <c r="B3">
        <f>B1-B2</f>
        <v>-42</v>
      </c>
      <c r="C3" s="8"/>
      <c r="D3" s="8"/>
      <c r="E3" s="8"/>
      <c r="F3" s="9"/>
      <c r="G3" s="12">
        <f t="shared" ref="G3:G27" si="0">H3+$D$1-$D$3</f>
        <v>-116.19999999999999</v>
      </c>
      <c r="H3" s="9">
        <v>-350</v>
      </c>
      <c r="I3" s="8"/>
      <c r="J3" s="8"/>
      <c r="K3" s="8"/>
      <c r="L3" s="8"/>
      <c r="M3" s="8"/>
      <c r="N3" s="8">
        <v>1.0840000000000001E-2</v>
      </c>
      <c r="O3" s="8">
        <v>6.0600000000000003E-3</v>
      </c>
      <c r="P3" s="8">
        <v>6.11E-3</v>
      </c>
      <c r="Q3" s="8">
        <v>8.6679999999999993E-2</v>
      </c>
      <c r="R3" s="8">
        <v>1.3509999999999999E-2</v>
      </c>
      <c r="S3" s="8"/>
      <c r="T3" s="8">
        <v>2.0590000000000001E-2</v>
      </c>
      <c r="U3" s="8">
        <v>1.265E-2</v>
      </c>
      <c r="V3" s="15"/>
      <c r="W3" s="8"/>
      <c r="X3" s="8"/>
      <c r="Y3" s="8"/>
      <c r="Z3" s="15"/>
      <c r="AA3" s="8"/>
      <c r="AB3" s="8">
        <v>9.1599999999999997E-3</v>
      </c>
      <c r="AC3" s="8"/>
      <c r="AD3" s="8"/>
      <c r="AE3" s="8"/>
      <c r="AF3" s="8"/>
      <c r="AG3" s="11"/>
      <c r="AH3" s="11"/>
      <c r="AI3" s="11"/>
      <c r="AJ3" s="11"/>
      <c r="AK3" s="11"/>
      <c r="AL3" s="11"/>
      <c r="AM3" s="8"/>
    </row>
    <row r="4" spans="1:42" x14ac:dyDescent="0.2">
      <c r="A4" s="3"/>
      <c r="C4" s="8"/>
      <c r="D4" s="8"/>
      <c r="E4" s="8"/>
      <c r="F4" s="9"/>
      <c r="G4" s="12">
        <f>H4+$D$1</f>
        <v>-141.19999999999999</v>
      </c>
      <c r="H4" s="9">
        <v>-375</v>
      </c>
      <c r="I4" s="8"/>
      <c r="J4" s="8"/>
      <c r="K4" s="8"/>
      <c r="L4" s="8">
        <v>1.078E-2</v>
      </c>
      <c r="M4" s="8"/>
      <c r="N4" s="8">
        <v>1.078E-2</v>
      </c>
      <c r="O4" s="8">
        <v>3.9199999999999999E-3</v>
      </c>
      <c r="P4" s="8"/>
      <c r="Q4" s="8">
        <v>7.596E-2</v>
      </c>
      <c r="R4" s="8">
        <v>1.8929999999999999E-2</v>
      </c>
      <c r="S4" s="8"/>
      <c r="T4" s="8">
        <v>2.104E-2</v>
      </c>
      <c r="U4" s="8">
        <v>1.7520000000000001E-2</v>
      </c>
      <c r="V4" s="8"/>
      <c r="W4" s="8"/>
      <c r="X4" s="8"/>
      <c r="Y4" s="8"/>
      <c r="Z4" s="15"/>
      <c r="AA4" s="8"/>
      <c r="AB4" s="8"/>
      <c r="AC4" s="8"/>
      <c r="AD4" s="8"/>
      <c r="AE4" s="8"/>
      <c r="AF4" s="8"/>
      <c r="AG4" s="11"/>
      <c r="AH4" s="11"/>
      <c r="AI4" s="11"/>
      <c r="AJ4" s="11"/>
      <c r="AK4" s="11"/>
      <c r="AL4" s="11"/>
      <c r="AM4" s="8"/>
    </row>
    <row r="5" spans="1:42" x14ac:dyDescent="0.2">
      <c r="A5" s="3"/>
      <c r="C5" s="8"/>
      <c r="D5" s="8"/>
      <c r="E5" s="8"/>
      <c r="F5" s="9"/>
      <c r="G5" s="12">
        <f t="shared" si="0"/>
        <v>-166.2</v>
      </c>
      <c r="H5" s="9">
        <v>-400</v>
      </c>
      <c r="I5" s="8"/>
      <c r="J5" s="8"/>
      <c r="K5" s="8"/>
      <c r="L5" s="8"/>
      <c r="M5" s="8"/>
      <c r="N5" s="8">
        <v>1.0070000000000001E-2</v>
      </c>
      <c r="O5" s="8">
        <v>5.0800000000000003E-3</v>
      </c>
      <c r="P5" s="8">
        <v>4.6499999999999996E-3</v>
      </c>
      <c r="Q5" s="8">
        <v>6.5290000000000001E-2</v>
      </c>
      <c r="R5" s="8">
        <v>3.27E-2</v>
      </c>
      <c r="S5" s="8"/>
      <c r="T5" s="8">
        <v>2.0129999999999999E-2</v>
      </c>
      <c r="U5" s="8">
        <v>1.8380000000000001E-2</v>
      </c>
      <c r="V5" s="8"/>
      <c r="W5" s="8"/>
      <c r="X5" s="8">
        <v>5.0899999999999999E-3</v>
      </c>
      <c r="Y5" s="8"/>
      <c r="Z5" s="8"/>
      <c r="AA5" s="8"/>
      <c r="AB5" s="8">
        <v>1.0200000000000001E-2</v>
      </c>
      <c r="AC5" s="8"/>
      <c r="AD5" s="8"/>
      <c r="AE5" s="8"/>
      <c r="AF5" s="8"/>
      <c r="AG5" s="11"/>
      <c r="AH5" s="11"/>
      <c r="AI5" s="11"/>
      <c r="AJ5" s="11"/>
      <c r="AK5" s="11"/>
      <c r="AL5" s="11"/>
      <c r="AM5" s="8"/>
    </row>
    <row r="6" spans="1:42" x14ac:dyDescent="0.2">
      <c r="A6" s="3"/>
      <c r="C6" s="8"/>
      <c r="D6" s="8"/>
      <c r="E6" s="8"/>
      <c r="F6" s="9"/>
      <c r="G6" s="12">
        <f t="shared" si="0"/>
        <v>-191.2</v>
      </c>
      <c r="H6" s="9">
        <v>-425</v>
      </c>
      <c r="I6" s="8"/>
      <c r="J6" s="8"/>
      <c r="K6" s="8"/>
      <c r="L6" s="8"/>
      <c r="M6" s="8"/>
      <c r="N6" s="8"/>
      <c r="O6" s="8">
        <v>1.5E-3</v>
      </c>
      <c r="P6" s="8">
        <v>3.7000000000000002E-3</v>
      </c>
      <c r="Q6" s="8">
        <v>4.0210000000000003E-2</v>
      </c>
      <c r="R6" s="8">
        <v>4.1689999999999998E-2</v>
      </c>
      <c r="S6" s="8">
        <v>1.1299999999999999E-2</v>
      </c>
      <c r="T6" s="8">
        <v>1.9709999999999998E-2</v>
      </c>
      <c r="U6" s="8">
        <v>1.6140000000000002E-2</v>
      </c>
      <c r="V6" s="8"/>
      <c r="W6" s="8">
        <v>3.64E-3</v>
      </c>
      <c r="X6" s="8">
        <v>5.1399999999999996E-3</v>
      </c>
      <c r="Y6" s="8"/>
      <c r="Z6" s="8"/>
      <c r="AA6" s="8"/>
      <c r="AB6" s="8"/>
      <c r="AC6" s="8"/>
      <c r="AD6" s="8"/>
      <c r="AE6" s="8">
        <v>3.0999999999999999E-3</v>
      </c>
      <c r="AF6" s="8"/>
      <c r="AG6" s="11"/>
      <c r="AH6" s="11"/>
      <c r="AI6" s="11"/>
      <c r="AJ6" s="11"/>
      <c r="AK6" s="11"/>
      <c r="AL6" s="11"/>
      <c r="AM6" s="8"/>
    </row>
    <row r="7" spans="1:42" x14ac:dyDescent="0.2">
      <c r="A7" s="3"/>
      <c r="C7" s="8"/>
      <c r="D7" s="8"/>
      <c r="E7" s="8"/>
      <c r="F7" s="9"/>
      <c r="G7" s="12">
        <f t="shared" si="0"/>
        <v>-291.2</v>
      </c>
      <c r="H7" s="9">
        <v>-525</v>
      </c>
      <c r="I7" s="8"/>
      <c r="J7" s="8"/>
      <c r="K7" s="8"/>
      <c r="L7" s="8"/>
      <c r="M7" s="8"/>
      <c r="N7" s="8">
        <v>9.5899999999999996E-3</v>
      </c>
      <c r="O7" s="8">
        <v>3.7399999999999998E-3</v>
      </c>
      <c r="P7" s="8">
        <v>3.6099999999999999E-3</v>
      </c>
      <c r="Q7" s="8">
        <v>2.1260000000000001E-2</v>
      </c>
      <c r="R7" s="8">
        <v>4.632E-2</v>
      </c>
      <c r="S7" s="8"/>
      <c r="T7" s="8">
        <v>1.5270000000000001E-2</v>
      </c>
      <c r="U7" s="15"/>
      <c r="V7" s="8">
        <v>1.5980000000000001E-2</v>
      </c>
      <c r="W7" s="8"/>
      <c r="X7" s="8">
        <v>1.3050000000000001E-2</v>
      </c>
      <c r="Y7" s="8"/>
      <c r="Z7" s="8"/>
      <c r="AA7" s="8"/>
      <c r="AB7" s="8">
        <v>5.3800000000000002E-3</v>
      </c>
      <c r="AC7" s="8">
        <v>3.5100000000000001E-3</v>
      </c>
      <c r="AD7" s="8"/>
      <c r="AE7" s="8"/>
      <c r="AF7" s="8"/>
      <c r="AG7" s="11"/>
      <c r="AH7" s="11"/>
      <c r="AI7" s="11"/>
      <c r="AJ7" s="11"/>
      <c r="AK7" s="11"/>
      <c r="AL7" s="11"/>
      <c r="AM7" s="8"/>
    </row>
    <row r="8" spans="1:42" x14ac:dyDescent="0.2">
      <c r="A8" s="3"/>
      <c r="B8">
        <f>0+199-0.4</f>
        <v>198.6</v>
      </c>
      <c r="C8" s="8"/>
      <c r="D8" s="8"/>
      <c r="E8" s="8"/>
      <c r="F8" s="9"/>
      <c r="G8" s="12">
        <f t="shared" si="0"/>
        <v>-391.2</v>
      </c>
      <c r="H8" s="9">
        <v>-625</v>
      </c>
      <c r="I8" s="9"/>
      <c r="J8" s="9"/>
      <c r="K8" s="9"/>
      <c r="L8" s="8"/>
      <c r="M8" s="8"/>
      <c r="N8" s="8"/>
      <c r="O8" s="8">
        <v>4.6899999999999997E-3</v>
      </c>
      <c r="P8" s="8"/>
      <c r="Q8" s="5">
        <v>2.5430000000000001E-2</v>
      </c>
      <c r="R8" s="8">
        <v>4.6559999999999997E-2</v>
      </c>
      <c r="S8" s="8">
        <v>8.4600000000000005E-3</v>
      </c>
      <c r="T8" s="8">
        <v>1.455E-2</v>
      </c>
      <c r="U8" s="15"/>
      <c r="V8" s="5">
        <v>1.951E-2</v>
      </c>
      <c r="W8" s="8"/>
      <c r="X8" s="8">
        <v>1.371E-2</v>
      </c>
      <c r="Y8" s="8"/>
      <c r="Z8" s="8"/>
      <c r="AA8" s="8"/>
      <c r="AB8" s="8">
        <v>2.9299999999999999E-3</v>
      </c>
      <c r="AC8" s="8"/>
      <c r="AD8" s="8"/>
      <c r="AE8" s="8">
        <v>2.4199999999999998E-3</v>
      </c>
      <c r="AF8" s="8">
        <v>3.13E-3</v>
      </c>
      <c r="AG8" s="11"/>
      <c r="AH8" s="11"/>
      <c r="AI8" s="11"/>
      <c r="AJ8" s="11"/>
      <c r="AK8" s="11"/>
      <c r="AL8" s="11"/>
      <c r="AM8" s="11"/>
    </row>
    <row r="9" spans="1:42" x14ac:dyDescent="0.2">
      <c r="A9" s="3"/>
      <c r="C9" s="8"/>
      <c r="D9" s="8"/>
      <c r="E9" s="8"/>
      <c r="F9" s="9"/>
      <c r="G9" s="12">
        <f t="shared" si="0"/>
        <v>-491.2</v>
      </c>
      <c r="H9" s="9">
        <v>-725</v>
      </c>
      <c r="I9" s="9"/>
      <c r="J9" s="9"/>
      <c r="K9" s="9"/>
      <c r="L9" s="8"/>
      <c r="M9" s="8"/>
      <c r="N9" s="8"/>
      <c r="O9" s="8">
        <v>1.9499999999999999E-3</v>
      </c>
      <c r="P9" s="8"/>
      <c r="Q9" s="8">
        <v>2.496E-2</v>
      </c>
      <c r="R9" s="8">
        <v>5.0560000000000001E-2</v>
      </c>
      <c r="S9" s="8">
        <v>9.4999999999999998E-3</v>
      </c>
      <c r="T9" s="8">
        <v>1.487E-2</v>
      </c>
      <c r="U9" s="15"/>
      <c r="V9" s="8">
        <v>1.3270000000000001E-2</v>
      </c>
      <c r="W9" s="8">
        <v>3.1199999999999999E-3</v>
      </c>
      <c r="X9" s="8">
        <v>1.026E-2</v>
      </c>
      <c r="Y9" s="8"/>
      <c r="Z9" s="8"/>
      <c r="AA9" s="8"/>
      <c r="AB9" s="8"/>
      <c r="AC9" s="8"/>
      <c r="AD9" s="8"/>
      <c r="AE9" s="8">
        <v>3.6600000000000001E-3</v>
      </c>
      <c r="AF9" s="8"/>
      <c r="AG9" s="15"/>
      <c r="AH9" s="8"/>
      <c r="AI9" s="15"/>
      <c r="AJ9" s="15"/>
      <c r="AK9" s="15"/>
      <c r="AL9" s="15"/>
      <c r="AM9" s="8"/>
    </row>
    <row r="10" spans="1:42" x14ac:dyDescent="0.2">
      <c r="A10" s="3"/>
      <c r="C10" s="8"/>
      <c r="D10" s="8"/>
      <c r="E10" s="8"/>
      <c r="F10" s="9"/>
      <c r="G10" s="12">
        <f t="shared" si="0"/>
        <v>-591.20000000000005</v>
      </c>
      <c r="H10" s="9">
        <v>-825</v>
      </c>
      <c r="I10" s="9"/>
      <c r="J10" s="15"/>
      <c r="K10" s="9"/>
      <c r="L10" s="8"/>
      <c r="M10" s="8"/>
      <c r="N10" s="8"/>
      <c r="O10" s="8">
        <v>4.3800000000000002E-3</v>
      </c>
      <c r="P10" s="8"/>
      <c r="Q10" s="8">
        <v>2.044E-2</v>
      </c>
      <c r="R10" s="8">
        <v>4.666E-2</v>
      </c>
      <c r="S10" s="8">
        <v>1.123E-2</v>
      </c>
      <c r="T10" s="5">
        <v>1.7180000000000001E-2</v>
      </c>
      <c r="U10" s="15"/>
      <c r="V10" s="8">
        <v>1.2070000000000001E-2</v>
      </c>
      <c r="W10" s="8"/>
      <c r="X10" s="8">
        <v>1.3809999999999999E-2</v>
      </c>
      <c r="Y10" s="8"/>
      <c r="Z10" s="8"/>
      <c r="AA10" s="8"/>
      <c r="AB10" s="8"/>
      <c r="AC10" s="8"/>
      <c r="AD10" s="8">
        <v>4.666E-2</v>
      </c>
      <c r="AE10" s="8">
        <v>4.3299999999999996E-3</v>
      </c>
      <c r="AF10" s="8"/>
      <c r="AG10" s="15"/>
      <c r="AH10" s="8"/>
      <c r="AI10" s="15"/>
      <c r="AJ10" s="8"/>
      <c r="AK10" s="15"/>
      <c r="AL10" s="15"/>
      <c r="AM10" s="8"/>
      <c r="AN10" s="4"/>
    </row>
    <row r="11" spans="1:42" s="8" customFormat="1" x14ac:dyDescent="0.2">
      <c r="A11" s="12"/>
      <c r="F11" s="9"/>
      <c r="G11" s="12">
        <f t="shared" si="0"/>
        <v>-691.2</v>
      </c>
      <c r="H11" s="9">
        <v>-925</v>
      </c>
      <c r="I11" s="9"/>
      <c r="J11" s="15"/>
      <c r="K11" s="9"/>
      <c r="O11" s="8">
        <v>8.2900000000000005E-3</v>
      </c>
      <c r="Q11" s="8">
        <v>1.6619999999999999E-2</v>
      </c>
      <c r="R11" s="8">
        <v>4.6580000000000003E-2</v>
      </c>
      <c r="S11" s="8">
        <v>9.8600000000000007E-3</v>
      </c>
      <c r="T11" s="8">
        <v>1.316E-2</v>
      </c>
      <c r="V11" s="8">
        <v>1.4420000000000001E-2</v>
      </c>
      <c r="W11" s="8">
        <v>3.8899999999999998E-3</v>
      </c>
      <c r="X11" s="8">
        <v>1.5990000000000001E-2</v>
      </c>
      <c r="AD11" s="8">
        <v>4.64E-3</v>
      </c>
      <c r="AE11" s="8">
        <v>4.6600000000000001E-3</v>
      </c>
      <c r="AG11" s="15"/>
      <c r="AI11" s="15"/>
      <c r="AK11" s="15"/>
      <c r="AL11" s="15"/>
      <c r="AN11" s="15"/>
    </row>
    <row r="12" spans="1:42" x14ac:dyDescent="0.2">
      <c r="A12" s="3"/>
      <c r="C12" s="8"/>
      <c r="D12" s="8"/>
      <c r="E12" s="8"/>
      <c r="F12" s="9"/>
      <c r="G12" s="12">
        <f t="shared" si="0"/>
        <v>-791.2</v>
      </c>
      <c r="H12" s="9">
        <v>-1025</v>
      </c>
      <c r="I12" s="9"/>
      <c r="J12" s="9"/>
      <c r="K12" s="9"/>
      <c r="L12" s="8"/>
      <c r="M12" s="8"/>
      <c r="N12" s="8"/>
      <c r="O12" s="8">
        <v>8.9499999999999996E-3</v>
      </c>
      <c r="P12" s="8"/>
      <c r="Q12" s="8">
        <v>1.6629999999999999E-2</v>
      </c>
      <c r="R12" s="8">
        <v>4.4830000000000002E-2</v>
      </c>
      <c r="S12" s="8">
        <v>1.055E-2</v>
      </c>
      <c r="T12" s="8">
        <v>1.1979999999999999E-2</v>
      </c>
      <c r="U12" s="15"/>
      <c r="V12" s="8">
        <v>1.453E-2</v>
      </c>
      <c r="W12" s="8"/>
      <c r="X12" s="8">
        <v>1.7100000000000001E-2</v>
      </c>
      <c r="Y12" s="8"/>
      <c r="Z12" s="8"/>
      <c r="AA12" s="8"/>
      <c r="AB12" s="8"/>
      <c r="AC12" s="8"/>
      <c r="AD12" s="8"/>
      <c r="AE12" s="8">
        <v>4.2399999999999998E-3</v>
      </c>
      <c r="AF12" s="8"/>
      <c r="AG12" s="15"/>
      <c r="AH12" s="15"/>
      <c r="AI12" s="15"/>
      <c r="AJ12" s="15"/>
      <c r="AK12" s="15"/>
      <c r="AL12" s="15"/>
      <c r="AM12" s="15"/>
      <c r="AN12" s="4"/>
      <c r="AO12" s="4"/>
      <c r="AP12" s="4"/>
    </row>
    <row r="13" spans="1:42" x14ac:dyDescent="0.2">
      <c r="A13" s="3"/>
      <c r="C13" s="8"/>
      <c r="D13" s="8"/>
      <c r="E13" s="8"/>
      <c r="F13" s="9"/>
      <c r="G13" s="12">
        <f t="shared" si="0"/>
        <v>-91.199999999999989</v>
      </c>
      <c r="H13" s="9">
        <v>-325</v>
      </c>
      <c r="I13" s="9"/>
      <c r="J13" s="9"/>
      <c r="K13" s="9"/>
      <c r="L13" s="8"/>
      <c r="M13" s="8"/>
      <c r="N13" s="8"/>
      <c r="O13" s="8"/>
      <c r="P13" s="8"/>
      <c r="Q13" s="8">
        <v>2.7220000000000001E-2</v>
      </c>
      <c r="R13" s="8">
        <v>5.6090000000000001E-2</v>
      </c>
      <c r="S13" s="8">
        <v>9.2999999999999992E-3</v>
      </c>
      <c r="T13" s="8">
        <v>1.881E-2</v>
      </c>
      <c r="U13" s="8">
        <v>5.4599999999999996E-3</v>
      </c>
      <c r="V13" s="8"/>
      <c r="W13" s="8"/>
      <c r="X13" s="8"/>
      <c r="Y13" s="8"/>
      <c r="Z13" s="8"/>
      <c r="AA13" s="8"/>
      <c r="AB13" s="8"/>
      <c r="AC13" s="8"/>
      <c r="AD13" s="8">
        <v>3.13E-3</v>
      </c>
      <c r="AE13" s="8">
        <v>1.787E-2</v>
      </c>
      <c r="AF13" s="8"/>
      <c r="AG13" s="15"/>
      <c r="AH13" s="8"/>
      <c r="AI13" s="15"/>
      <c r="AJ13" s="8"/>
      <c r="AK13" s="15"/>
      <c r="AL13" s="15"/>
      <c r="AM13" s="8"/>
      <c r="AN13" s="4"/>
    </row>
    <row r="14" spans="1:42" x14ac:dyDescent="0.2">
      <c r="A14" s="3"/>
      <c r="C14" s="8"/>
      <c r="D14" s="8"/>
      <c r="E14" s="8"/>
      <c r="F14" s="9"/>
      <c r="G14" s="12">
        <f t="shared" si="0"/>
        <v>8.8000000000000114</v>
      </c>
      <c r="H14" s="9">
        <v>-225</v>
      </c>
      <c r="I14" s="9"/>
      <c r="J14" s="9"/>
      <c r="K14" s="9"/>
      <c r="L14" s="9"/>
      <c r="M14" s="9"/>
      <c r="N14" s="9"/>
      <c r="O14" s="9">
        <v>1.489E-2</v>
      </c>
      <c r="P14" s="9"/>
      <c r="Q14" s="9">
        <v>0.10093000000000001</v>
      </c>
      <c r="R14" s="9"/>
      <c r="S14" s="9">
        <v>1.404E-2</v>
      </c>
      <c r="T14" s="9">
        <v>2.2700000000000001E-2</v>
      </c>
      <c r="U14" s="9"/>
      <c r="V14" s="9"/>
      <c r="W14" s="9">
        <v>1.3799999999999999E-3</v>
      </c>
      <c r="X14" s="9">
        <v>8.0700000000000008E-3</v>
      </c>
      <c r="Y14" s="8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4"/>
      <c r="AO14" s="4"/>
      <c r="AP14" s="4"/>
    </row>
    <row r="15" spans="1:42" x14ac:dyDescent="0.2">
      <c r="A15" s="3"/>
      <c r="C15" s="8"/>
      <c r="D15" s="8"/>
      <c r="E15" s="8"/>
      <c r="F15" s="9"/>
      <c r="G15" s="12">
        <f t="shared" si="0"/>
        <v>233.8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5"/>
      <c r="X15" s="15"/>
      <c r="Y15" s="8"/>
      <c r="Z15" s="15"/>
      <c r="AA15" s="11"/>
      <c r="AB15" s="11"/>
      <c r="AC15" s="11"/>
      <c r="AD15" s="11"/>
      <c r="AE15" s="11"/>
      <c r="AF15" s="11"/>
      <c r="AG15" s="11"/>
      <c r="AH15" s="8"/>
      <c r="AI15" s="15"/>
      <c r="AJ15" s="15"/>
      <c r="AK15" s="15"/>
      <c r="AL15" s="15"/>
      <c r="AM15" s="8"/>
      <c r="AN15" s="4"/>
    </row>
    <row r="16" spans="1:42" x14ac:dyDescent="0.2">
      <c r="A16" s="3"/>
      <c r="C16" s="8"/>
      <c r="D16" s="8"/>
      <c r="E16" s="8"/>
      <c r="F16" s="9"/>
      <c r="G16" s="12">
        <f t="shared" si="0"/>
        <v>233.8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5"/>
      <c r="X16" s="15"/>
      <c r="Y16" s="8"/>
      <c r="Z16" s="15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8"/>
    </row>
    <row r="17" spans="1:52" x14ac:dyDescent="0.2">
      <c r="A17" s="3"/>
      <c r="C17" s="8"/>
      <c r="D17" s="8"/>
      <c r="E17" s="8"/>
      <c r="F17" s="9"/>
      <c r="G17" s="12">
        <f t="shared" si="0"/>
        <v>233.8</v>
      </c>
      <c r="H17" s="9"/>
      <c r="I17" s="9"/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5"/>
      <c r="Y17" s="8"/>
      <c r="Z17" s="15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8"/>
    </row>
    <row r="18" spans="1:52" x14ac:dyDescent="0.2">
      <c r="A18" s="3"/>
      <c r="C18" s="8"/>
      <c r="D18" s="8"/>
      <c r="E18" s="8"/>
      <c r="F18" s="9"/>
      <c r="G18" s="12">
        <f t="shared" si="0"/>
        <v>233.8</v>
      </c>
      <c r="H18" s="9"/>
      <c r="I18" s="9"/>
      <c r="J18" s="9"/>
      <c r="K18" s="9"/>
      <c r="L18" s="9"/>
      <c r="M18" s="8"/>
      <c r="N18" s="8"/>
      <c r="O18" s="15"/>
      <c r="P18" s="8"/>
      <c r="Q18" s="9"/>
      <c r="R18" s="9"/>
      <c r="S18" s="15"/>
      <c r="T18" s="8"/>
      <c r="U18" s="8"/>
      <c r="V18" s="8"/>
      <c r="W18" s="9"/>
      <c r="X18" s="15"/>
      <c r="Y18" s="8"/>
      <c r="Z18" s="15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8"/>
    </row>
    <row r="19" spans="1:52" s="7" customFormat="1" x14ac:dyDescent="0.2">
      <c r="A19" s="3"/>
      <c r="B19"/>
      <c r="C19" s="8"/>
      <c r="D19" s="8"/>
      <c r="E19" s="8"/>
      <c r="F19" s="9"/>
      <c r="G19" s="12">
        <f t="shared" si="0"/>
        <v>233.8</v>
      </c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9"/>
      <c r="V19" s="9"/>
      <c r="W19" s="8"/>
      <c r="X19" s="15"/>
      <c r="Y19" s="8"/>
      <c r="Z19" s="15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8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x14ac:dyDescent="0.2">
      <c r="A20" s="3"/>
      <c r="C20" s="8"/>
      <c r="D20" s="8"/>
      <c r="E20" s="8"/>
      <c r="F20" s="9"/>
      <c r="G20" s="12">
        <f t="shared" si="0"/>
        <v>233.8</v>
      </c>
      <c r="H20" s="9"/>
      <c r="I20" s="9"/>
      <c r="J20" s="9"/>
      <c r="K20" s="9"/>
      <c r="L20" s="9"/>
      <c r="M20" s="8"/>
      <c r="N20" s="8"/>
      <c r="O20" s="9"/>
      <c r="P20" s="8"/>
      <c r="Q20" s="9"/>
      <c r="R20" s="9"/>
      <c r="S20" s="8"/>
      <c r="T20" s="8"/>
      <c r="U20" s="9"/>
      <c r="V20" s="9"/>
      <c r="W20" s="8"/>
      <c r="X20" s="15"/>
      <c r="Y20" s="8"/>
      <c r="Z20" s="15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8"/>
    </row>
    <row r="21" spans="1:52" s="7" customFormat="1" x14ac:dyDescent="0.2">
      <c r="A21" s="3"/>
      <c r="B21"/>
      <c r="C21" s="8"/>
      <c r="D21" s="8"/>
      <c r="E21" s="8"/>
      <c r="F21" s="9"/>
      <c r="G21" s="12">
        <f t="shared" si="0"/>
        <v>233.8</v>
      </c>
      <c r="H21" s="9"/>
      <c r="I21" s="9"/>
      <c r="J21" s="9"/>
      <c r="K21" s="9"/>
      <c r="L21" s="8"/>
      <c r="M21" s="9"/>
      <c r="N21" s="9"/>
      <c r="O21" s="9"/>
      <c r="P21" s="9"/>
      <c r="Q21" s="8"/>
      <c r="R21" s="8"/>
      <c r="S21" s="8"/>
      <c r="T21" s="8"/>
      <c r="U21" s="9"/>
      <c r="V21" s="9"/>
      <c r="W21" s="8"/>
      <c r="X21" s="15"/>
      <c r="Y21" s="8"/>
      <c r="Z21" s="15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8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x14ac:dyDescent="0.2">
      <c r="A22" s="3"/>
      <c r="C22" s="8"/>
      <c r="D22" s="8"/>
      <c r="E22" s="8"/>
      <c r="F22" s="9"/>
      <c r="G22" s="12">
        <f t="shared" si="0"/>
        <v>233.8</v>
      </c>
      <c r="H22" s="9"/>
      <c r="I22" s="9"/>
      <c r="J22" s="9"/>
      <c r="K22" s="9"/>
      <c r="L22" s="8"/>
      <c r="M22" s="8"/>
      <c r="N22" s="8"/>
      <c r="O22" s="9"/>
      <c r="P22" s="8"/>
      <c r="Q22" s="9"/>
      <c r="R22" s="9"/>
      <c r="S22" s="9"/>
      <c r="T22" s="8"/>
      <c r="U22" s="9"/>
      <c r="V22" s="9"/>
      <c r="W22" s="9"/>
      <c r="X22" s="15"/>
      <c r="Y22" s="8"/>
      <c r="Z22" s="15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8"/>
    </row>
    <row r="23" spans="1:52" x14ac:dyDescent="0.2">
      <c r="A23" s="3"/>
      <c r="C23" s="8"/>
      <c r="D23" s="8"/>
      <c r="E23" s="8"/>
      <c r="F23" s="9"/>
      <c r="G23" s="12">
        <f t="shared" si="0"/>
        <v>233.8</v>
      </c>
      <c r="H23" s="9"/>
      <c r="I23" s="9"/>
      <c r="J23" s="9"/>
      <c r="K23" s="9"/>
      <c r="L23" s="9"/>
      <c r="M23" s="8"/>
      <c r="N23" s="8"/>
      <c r="O23" s="8"/>
      <c r="P23" s="8"/>
      <c r="Q23" s="9"/>
      <c r="R23" s="9"/>
      <c r="S23" s="8"/>
      <c r="T23" s="8"/>
      <c r="U23" s="9"/>
      <c r="V23" s="9"/>
      <c r="W23" s="9"/>
      <c r="X23" s="9"/>
      <c r="Y23" s="8"/>
      <c r="Z23" s="15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8"/>
    </row>
    <row r="24" spans="1:52" s="7" customFormat="1" x14ac:dyDescent="0.2">
      <c r="A24" s="3"/>
      <c r="B24"/>
      <c r="C24" s="8"/>
      <c r="D24" s="8"/>
      <c r="E24" s="8"/>
      <c r="F24" s="9"/>
      <c r="G24" s="12">
        <f t="shared" si="0"/>
        <v>233.8</v>
      </c>
      <c r="H24" s="9"/>
      <c r="I24" s="9"/>
      <c r="J24" s="9"/>
      <c r="K24" s="9"/>
      <c r="L24" s="9"/>
      <c r="M24" s="9"/>
      <c r="N24" s="9"/>
      <c r="O24" s="9"/>
      <c r="P24" s="9"/>
      <c r="Q24" s="8"/>
      <c r="R24" s="8"/>
      <c r="S24" s="8"/>
      <c r="T24" s="8"/>
      <c r="U24" s="9"/>
      <c r="V24" s="9"/>
      <c r="W24" s="8"/>
      <c r="X24" s="8"/>
      <c r="Y24" s="8"/>
      <c r="Z24" s="15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8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x14ac:dyDescent="0.2">
      <c r="A25" s="3"/>
      <c r="C25" s="8"/>
      <c r="D25" s="8"/>
      <c r="E25" s="8"/>
      <c r="F25" s="9"/>
      <c r="G25" s="12">
        <f t="shared" si="0"/>
        <v>233.8</v>
      </c>
      <c r="H25" s="9"/>
      <c r="I25" s="9"/>
      <c r="J25" s="9"/>
      <c r="K25" s="9"/>
      <c r="L25" s="9"/>
      <c r="M25" s="9"/>
      <c r="N25" s="9"/>
      <c r="O25" s="9"/>
      <c r="P25" s="9"/>
      <c r="Q25" s="15"/>
      <c r="R25" s="8"/>
      <c r="S25" s="8"/>
      <c r="T25" s="8"/>
      <c r="U25" s="8"/>
      <c r="V25" s="8"/>
      <c r="W25" s="8"/>
      <c r="X25" s="8"/>
      <c r="Y25" s="15"/>
      <c r="Z25" s="15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8"/>
    </row>
    <row r="26" spans="1:52" x14ac:dyDescent="0.2">
      <c r="A26" s="3"/>
      <c r="C26" s="8"/>
      <c r="D26" s="8"/>
      <c r="E26" s="8"/>
      <c r="F26" s="9"/>
      <c r="G26" s="12">
        <f t="shared" si="0"/>
        <v>233.8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8"/>
      <c r="S26" s="15"/>
      <c r="T26" s="15"/>
      <c r="U26" s="9"/>
      <c r="V26" s="9"/>
      <c r="W26" s="9"/>
      <c r="X26" s="8"/>
      <c r="Y26" s="8"/>
      <c r="Z26" s="15"/>
      <c r="AA26" s="15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8"/>
    </row>
    <row r="27" spans="1:52" x14ac:dyDescent="0.2">
      <c r="A27" s="3"/>
      <c r="C27" s="8"/>
      <c r="D27" s="8"/>
      <c r="E27" s="8"/>
      <c r="F27" s="9"/>
      <c r="G27" s="12">
        <f t="shared" si="0"/>
        <v>233.8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8"/>
      <c r="S27" s="9"/>
      <c r="T27" s="8"/>
      <c r="U27" s="8"/>
      <c r="V27" s="8"/>
      <c r="W27" s="8"/>
      <c r="X27" s="8"/>
      <c r="Y27" s="8"/>
      <c r="Z27" s="8"/>
      <c r="AA27" s="15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8"/>
    </row>
    <row r="28" spans="1:52" x14ac:dyDescent="0.2">
      <c r="C28" s="8"/>
      <c r="D28" s="8"/>
      <c r="E28" s="8"/>
      <c r="F28" s="9"/>
      <c r="G28" s="9"/>
      <c r="H28" s="9"/>
      <c r="I28" s="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8"/>
    </row>
    <row r="29" spans="1:52" x14ac:dyDescent="0.2">
      <c r="C29" s="8"/>
      <c r="D29" s="8"/>
      <c r="E29" s="8"/>
      <c r="F29" s="9"/>
      <c r="G29" s="9"/>
      <c r="H29" s="9"/>
      <c r="I29" s="9"/>
      <c r="J29" s="9"/>
      <c r="K29" s="9"/>
      <c r="L29" s="8"/>
      <c r="M29" s="8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8"/>
      <c r="Z29" s="8"/>
      <c r="AA29" s="9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8"/>
    </row>
    <row r="30" spans="1:52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8"/>
    </row>
    <row r="31" spans="1:52" x14ac:dyDescent="0.2">
      <c r="C31" s="8"/>
      <c r="D31" s="8"/>
      <c r="E31" s="8"/>
      <c r="F31" s="9"/>
      <c r="G31" s="9"/>
      <c r="H31" s="9"/>
      <c r="I31" s="9"/>
      <c r="J31" s="9"/>
      <c r="K31" s="9"/>
      <c r="L31" s="8"/>
      <c r="M31" s="9"/>
      <c r="N31" s="8"/>
      <c r="O31" s="9"/>
      <c r="P31" s="8"/>
      <c r="Q31" s="9"/>
      <c r="R31" s="9"/>
      <c r="S31" s="9"/>
      <c r="T31" s="9"/>
      <c r="U31" s="9"/>
      <c r="V31" s="9"/>
      <c r="W31" s="8"/>
      <c r="X31" s="9"/>
      <c r="Y31" s="8"/>
      <c r="Z31" s="15"/>
      <c r="AA31" s="8"/>
      <c r="AB31" s="8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8"/>
    </row>
    <row r="32" spans="1:52" x14ac:dyDescent="0.2">
      <c r="C32" s="8"/>
      <c r="D32" s="8"/>
      <c r="E32" s="8"/>
      <c r="F32" s="9"/>
      <c r="G32" s="9"/>
      <c r="H32" s="9"/>
      <c r="I32" s="9"/>
      <c r="J32" s="8"/>
      <c r="K32" s="8"/>
      <c r="L32" s="9"/>
      <c r="M32" s="8"/>
      <c r="N32" s="8"/>
      <c r="O32" s="8"/>
      <c r="P32" s="8"/>
      <c r="Q32" s="9"/>
      <c r="R32" s="8"/>
      <c r="S32" s="8"/>
      <c r="T32" s="8"/>
      <c r="U32" s="8"/>
      <c r="V32" s="8"/>
      <c r="W32" s="8"/>
      <c r="X32" s="9"/>
      <c r="Y32" s="8"/>
      <c r="Z32" s="15"/>
      <c r="AA32" s="8"/>
      <c r="AB32" s="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8"/>
    </row>
    <row r="33" spans="3:39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8"/>
      <c r="Z33" s="9"/>
      <c r="AA33" s="9"/>
      <c r="AB33" s="15"/>
      <c r="AC33" s="15"/>
      <c r="AD33" s="15"/>
      <c r="AE33" s="11"/>
      <c r="AF33" s="11"/>
      <c r="AG33" s="11"/>
      <c r="AH33" s="11"/>
      <c r="AI33" s="11"/>
      <c r="AJ33" s="11"/>
      <c r="AK33" s="11"/>
      <c r="AL33" s="11"/>
      <c r="AM33" s="8"/>
    </row>
    <row r="34" spans="3:39" x14ac:dyDescent="0.2">
      <c r="C34" s="8"/>
      <c r="D34" s="8"/>
      <c r="E34" s="8"/>
      <c r="F34" s="9"/>
      <c r="G34" s="9"/>
      <c r="H34" s="9"/>
      <c r="I34" s="9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8"/>
      <c r="W34" s="8"/>
      <c r="X34" s="9"/>
      <c r="Y34" s="8"/>
      <c r="Z34" s="15"/>
      <c r="AA34" s="8"/>
      <c r="AB34" s="15"/>
      <c r="AC34" s="15"/>
      <c r="AD34" s="15"/>
      <c r="AE34" s="11"/>
      <c r="AF34" s="11"/>
      <c r="AG34" s="11"/>
      <c r="AH34" s="11"/>
      <c r="AI34" s="11"/>
      <c r="AJ34" s="11"/>
      <c r="AK34" s="11"/>
      <c r="AL34" s="11"/>
      <c r="AM34" s="8"/>
    </row>
    <row r="35" spans="3:39" x14ac:dyDescent="0.2">
      <c r="C35" s="8"/>
      <c r="D35" s="8"/>
      <c r="E35" s="8"/>
      <c r="F35" s="9"/>
      <c r="G35" s="9"/>
      <c r="H35" s="9"/>
      <c r="I35" s="9"/>
      <c r="J35" s="8"/>
      <c r="K35" s="8"/>
      <c r="L35" s="8"/>
      <c r="M35" s="8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8"/>
      <c r="Z35" s="8"/>
      <c r="AA35" s="8"/>
      <c r="AB35" s="15"/>
      <c r="AC35" s="15"/>
      <c r="AD35" s="15"/>
      <c r="AE35" s="11"/>
      <c r="AF35" s="11"/>
      <c r="AG35" s="11"/>
      <c r="AH35" s="11"/>
      <c r="AI35" s="11"/>
      <c r="AJ35" s="11"/>
      <c r="AK35" s="11"/>
      <c r="AL35" s="11"/>
      <c r="AM35" s="8"/>
    </row>
    <row r="36" spans="3:39" x14ac:dyDescent="0.2">
      <c r="F36" s="1"/>
      <c r="G36" s="1"/>
      <c r="H36" s="1"/>
      <c r="I36"/>
      <c r="J36"/>
      <c r="K36"/>
      <c r="L36"/>
      <c r="M36"/>
      <c r="N36"/>
      <c r="O36" s="1"/>
      <c r="P36"/>
      <c r="Q36"/>
      <c r="R36"/>
      <c r="S36"/>
      <c r="T36"/>
      <c r="U36"/>
      <c r="V36"/>
      <c r="W36"/>
      <c r="X36"/>
      <c r="Z36"/>
      <c r="AA36" s="1"/>
      <c r="AB36" s="4"/>
      <c r="AC36" s="4"/>
      <c r="AD36" s="4"/>
    </row>
    <row r="37" spans="3:39" x14ac:dyDescent="0.2">
      <c r="F37" s="1"/>
      <c r="G37" s="1"/>
      <c r="H37" s="1"/>
      <c r="I37" s="1"/>
      <c r="J37" s="1"/>
      <c r="K37" s="1"/>
      <c r="L37" s="1"/>
      <c r="M37" s="1"/>
      <c r="N37"/>
      <c r="O37" s="1"/>
      <c r="P37" s="1"/>
      <c r="Q37" s="1"/>
      <c r="R37"/>
      <c r="S37"/>
      <c r="T37"/>
      <c r="U37"/>
      <c r="V37"/>
      <c r="W37" s="1"/>
      <c r="X37" s="1"/>
      <c r="Z37"/>
      <c r="AA37"/>
      <c r="AB37"/>
      <c r="AC37"/>
      <c r="AD37"/>
    </row>
    <row r="38" spans="3:39" x14ac:dyDescent="0.2">
      <c r="I38" s="4"/>
      <c r="O38" s="4"/>
      <c r="Q38" s="4"/>
    </row>
    <row r="39" spans="3:39" x14ac:dyDescent="0.2">
      <c r="I39" s="4"/>
      <c r="O39" s="4"/>
      <c r="Q39" s="4"/>
    </row>
    <row r="40" spans="3:39" x14ac:dyDescent="0.2">
      <c r="I40" s="4"/>
      <c r="O40" s="4"/>
      <c r="Q40" s="4"/>
    </row>
    <row r="41" spans="3:39" x14ac:dyDescent="0.2">
      <c r="I41" s="4"/>
      <c r="O41" s="4"/>
      <c r="Q41" s="4"/>
    </row>
    <row r="42" spans="3:39" x14ac:dyDescent="0.2">
      <c r="I42" s="4"/>
      <c r="O42" s="4"/>
      <c r="Q42" s="4"/>
    </row>
    <row r="43" spans="3:39" x14ac:dyDescent="0.2">
      <c r="I43" s="4"/>
      <c r="O43" s="4"/>
      <c r="Q43" s="4"/>
    </row>
    <row r="44" spans="3:39" x14ac:dyDescent="0.2">
      <c r="I44" s="4"/>
      <c r="O44" s="4"/>
      <c r="Q44" s="4"/>
    </row>
    <row r="45" spans="3:39" x14ac:dyDescent="0.2">
      <c r="I45" s="4"/>
      <c r="O45" s="4"/>
      <c r="Q45" s="4"/>
    </row>
    <row r="46" spans="3:39" x14ac:dyDescent="0.2">
      <c r="I46" s="4"/>
      <c r="O46" s="4"/>
      <c r="Q46" s="4"/>
    </row>
    <row r="47" spans="3:39" x14ac:dyDescent="0.2">
      <c r="I47" s="4"/>
      <c r="O47" s="4"/>
      <c r="Q47" s="4"/>
    </row>
    <row r="48" spans="3:39" x14ac:dyDescent="0.2">
      <c r="I48" s="4"/>
      <c r="O48" s="4"/>
      <c r="Q48" s="4"/>
    </row>
    <row r="49" spans="3:42" x14ac:dyDescent="0.2">
      <c r="I49" s="4"/>
      <c r="O49" s="4"/>
      <c r="Q49" s="4"/>
    </row>
    <row r="50" spans="3:42" x14ac:dyDescent="0.2">
      <c r="I50" s="4"/>
      <c r="O50" s="4"/>
      <c r="Q50" s="4"/>
    </row>
    <row r="51" spans="3:42" x14ac:dyDescent="0.2">
      <c r="I51" s="4"/>
      <c r="O51" s="4"/>
      <c r="Q51" s="4"/>
    </row>
    <row r="52" spans="3:42" x14ac:dyDescent="0.2">
      <c r="I52" s="4"/>
      <c r="O52" s="4"/>
      <c r="Q52" s="4"/>
    </row>
    <row r="53" spans="3:42" x14ac:dyDescent="0.2">
      <c r="I53" s="4"/>
      <c r="O53" s="4"/>
      <c r="Q53" s="4"/>
    </row>
    <row r="54" spans="3:42" x14ac:dyDescent="0.2">
      <c r="I54" s="4"/>
      <c r="O54" s="4"/>
      <c r="Q54" s="4"/>
    </row>
    <row r="55" spans="3:42" x14ac:dyDescent="0.2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3:42" x14ac:dyDescent="0.2">
      <c r="I56" s="4"/>
      <c r="O56" s="4"/>
      <c r="Q56" s="4"/>
    </row>
    <row r="57" spans="3:42" x14ac:dyDescent="0.2">
      <c r="I57" s="4"/>
      <c r="O57" s="4"/>
      <c r="Q57" s="4"/>
    </row>
    <row r="58" spans="3:42" s="4" customFormat="1" x14ac:dyDescent="0.2">
      <c r="C58" s="1"/>
      <c r="D58" s="1"/>
      <c r="E58"/>
      <c r="Y58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/>
      <c r="AN58"/>
      <c r="AO58"/>
      <c r="AP58"/>
    </row>
    <row r="59" spans="3:42" s="4" customFormat="1" x14ac:dyDescent="0.2">
      <c r="C59" s="1"/>
      <c r="D59" s="1"/>
      <c r="E59"/>
      <c r="Y5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/>
      <c r="AN59"/>
      <c r="AO59"/>
      <c r="AP59"/>
    </row>
    <row r="60" spans="3:42" s="4" customFormat="1" x14ac:dyDescent="0.2">
      <c r="C60" s="1"/>
      <c r="D60" s="1"/>
      <c r="E60"/>
      <c r="Y60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/>
      <c r="AN60"/>
      <c r="AO60"/>
      <c r="AP60"/>
    </row>
    <row r="61" spans="3:42" s="4" customFormat="1" x14ac:dyDescent="0.2">
      <c r="C61" s="1"/>
      <c r="D61" s="1"/>
      <c r="E61"/>
      <c r="Y61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/>
      <c r="AN61"/>
      <c r="AO61"/>
      <c r="AP61"/>
    </row>
    <row r="62" spans="3:42" s="4" customFormat="1" x14ac:dyDescent="0.2">
      <c r="C62" s="1"/>
      <c r="D62" s="1"/>
      <c r="E62"/>
      <c r="Y6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/>
      <c r="AN62"/>
      <c r="AO62"/>
      <c r="AP62"/>
    </row>
    <row r="63" spans="3:42" s="4" customFormat="1" x14ac:dyDescent="0.2">
      <c r="C63" s="1"/>
      <c r="D63" s="1"/>
      <c r="E63"/>
      <c r="Y6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/>
      <c r="AN63"/>
      <c r="AO63"/>
      <c r="AP63"/>
    </row>
    <row r="64" spans="3:42" s="4" customFormat="1" x14ac:dyDescent="0.2">
      <c r="C64" s="1"/>
      <c r="D64" s="1"/>
      <c r="E64"/>
      <c r="Y6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/>
      <c r="AN64"/>
      <c r="AO64"/>
      <c r="AP64"/>
    </row>
    <row r="65" spans="9:17" x14ac:dyDescent="0.2">
      <c r="I65" s="4"/>
      <c r="O65" s="4"/>
      <c r="Q65" s="4"/>
    </row>
    <row r="66" spans="9:17" x14ac:dyDescent="0.2">
      <c r="I66" s="4"/>
      <c r="O66" s="4"/>
      <c r="Q66" s="4"/>
    </row>
    <row r="67" spans="9:17" x14ac:dyDescent="0.2">
      <c r="I67" s="4"/>
      <c r="O67" s="4"/>
      <c r="Q67" s="4"/>
    </row>
    <row r="68" spans="9:17" x14ac:dyDescent="0.2">
      <c r="I68" s="4"/>
      <c r="O68" s="4"/>
      <c r="Q68" s="4"/>
    </row>
    <row r="69" spans="9:17" x14ac:dyDescent="0.2">
      <c r="I69" s="4"/>
      <c r="O69" s="4"/>
      <c r="Q69" s="4"/>
    </row>
    <row r="70" spans="9:17" x14ac:dyDescent="0.2">
      <c r="I70" s="4"/>
      <c r="O70" s="4"/>
      <c r="Q70" s="4"/>
    </row>
    <row r="71" spans="9:17" x14ac:dyDescent="0.2">
      <c r="I71" s="4"/>
      <c r="O71" s="4"/>
      <c r="Q71" s="4"/>
    </row>
    <row r="72" spans="9:17" x14ac:dyDescent="0.2">
      <c r="I72" s="4"/>
      <c r="O72" s="4"/>
      <c r="Q72" s="4"/>
    </row>
    <row r="73" spans="9:17" x14ac:dyDescent="0.2">
      <c r="I73" s="4"/>
      <c r="O73" s="4"/>
      <c r="Q73" s="4"/>
    </row>
    <row r="74" spans="9:17" x14ac:dyDescent="0.2">
      <c r="I74" s="4"/>
      <c r="O74" s="4"/>
      <c r="Q74" s="4"/>
    </row>
    <row r="75" spans="9:17" x14ac:dyDescent="0.2">
      <c r="I75" s="4"/>
      <c r="O75" s="4"/>
      <c r="Q75" s="4"/>
    </row>
    <row r="76" spans="9:17" x14ac:dyDescent="0.2">
      <c r="I76" s="4"/>
      <c r="O76" s="4"/>
      <c r="Q76" s="4"/>
    </row>
    <row r="77" spans="9:17" x14ac:dyDescent="0.2">
      <c r="I77" s="4"/>
      <c r="O77" s="4"/>
      <c r="Q77" s="4"/>
    </row>
    <row r="78" spans="9:17" x14ac:dyDescent="0.2">
      <c r="I78" s="4"/>
      <c r="O78" s="4"/>
      <c r="Q78" s="4"/>
    </row>
    <row r="79" spans="9:17" x14ac:dyDescent="0.2">
      <c r="I79" s="4"/>
      <c r="O79" s="4"/>
      <c r="Q79" s="4"/>
    </row>
    <row r="80" spans="9:17" x14ac:dyDescent="0.2">
      <c r="I80" s="4"/>
      <c r="O80" s="4"/>
      <c r="Q80" s="4"/>
    </row>
    <row r="81" spans="2:17" x14ac:dyDescent="0.2">
      <c r="I81" s="4"/>
      <c r="O81" s="4"/>
      <c r="Q81" s="4"/>
    </row>
    <row r="82" spans="2:17" x14ac:dyDescent="0.2">
      <c r="I82" s="4"/>
      <c r="O82" s="4"/>
      <c r="Q82" s="4"/>
    </row>
    <row r="83" spans="2:17" x14ac:dyDescent="0.2">
      <c r="B83" s="4"/>
      <c r="C83" s="4"/>
      <c r="D83" s="4"/>
      <c r="I83" s="4"/>
      <c r="O83" s="4"/>
      <c r="Q83" s="4"/>
    </row>
    <row r="84" spans="2:17" x14ac:dyDescent="0.2">
      <c r="B84" s="4"/>
      <c r="C84" s="4"/>
      <c r="D84" s="4"/>
      <c r="I84" s="4"/>
      <c r="O84" s="4"/>
      <c r="Q84" s="4"/>
    </row>
    <row r="85" spans="2:17" x14ac:dyDescent="0.2">
      <c r="B85" s="4"/>
      <c r="C85" s="4"/>
      <c r="D85" s="4"/>
      <c r="I85" s="4"/>
      <c r="O85" s="4"/>
      <c r="Q85" s="4"/>
    </row>
    <row r="86" spans="2:17" x14ac:dyDescent="0.2">
      <c r="B86" s="4"/>
      <c r="C86" s="4"/>
      <c r="D86" s="4"/>
      <c r="I86" s="4"/>
      <c r="O86" s="4"/>
      <c r="Q86" s="4"/>
    </row>
    <row r="87" spans="2:17" x14ac:dyDescent="0.2">
      <c r="B87" s="4"/>
      <c r="C87" s="4"/>
      <c r="D87" s="4"/>
      <c r="I87" s="4"/>
      <c r="O87" s="4"/>
      <c r="Q87" s="4"/>
    </row>
    <row r="88" spans="2:17" x14ac:dyDescent="0.2">
      <c r="B88" s="4"/>
      <c r="C88" s="4"/>
      <c r="D88" s="4"/>
      <c r="I88" s="4"/>
      <c r="O88" s="4"/>
      <c r="Q88" s="4"/>
    </row>
    <row r="89" spans="2:17" x14ac:dyDescent="0.2">
      <c r="I89" s="4"/>
      <c r="O89" s="4"/>
      <c r="Q89" s="4"/>
    </row>
    <row r="90" spans="2:17" x14ac:dyDescent="0.2">
      <c r="I90" s="4"/>
      <c r="O90" s="4"/>
      <c r="Q90" s="4"/>
    </row>
    <row r="91" spans="2:17" x14ac:dyDescent="0.2">
      <c r="I91" s="4"/>
      <c r="O91" s="4"/>
      <c r="Q91" s="4"/>
    </row>
    <row r="92" spans="2:17" x14ac:dyDescent="0.2">
      <c r="I92" s="4"/>
      <c r="O92" s="4"/>
      <c r="Q92" s="4"/>
    </row>
    <row r="93" spans="2:17" x14ac:dyDescent="0.2">
      <c r="I93" s="4"/>
      <c r="O93" s="4"/>
      <c r="Q93" s="4"/>
    </row>
    <row r="94" spans="2:17" x14ac:dyDescent="0.2">
      <c r="I94" s="4"/>
      <c r="O94" s="4"/>
      <c r="Q94" s="4"/>
    </row>
    <row r="95" spans="2:17" x14ac:dyDescent="0.2">
      <c r="I95" s="4"/>
      <c r="O95" s="4"/>
      <c r="Q95" s="4"/>
    </row>
    <row r="96" spans="2:17" x14ac:dyDescent="0.2">
      <c r="B96" s="4"/>
      <c r="C96" s="4"/>
      <c r="D96" s="4"/>
      <c r="I96" s="4"/>
      <c r="O96" s="4"/>
      <c r="Q96" s="4"/>
    </row>
    <row r="97" spans="2:17" x14ac:dyDescent="0.2">
      <c r="B97" s="4"/>
      <c r="C97" s="4"/>
      <c r="D97" s="4"/>
      <c r="I97" s="4"/>
      <c r="O97" s="4"/>
      <c r="Q97" s="4"/>
    </row>
    <row r="98" spans="2:17" x14ac:dyDescent="0.2">
      <c r="B98" s="4"/>
      <c r="C98" s="4"/>
      <c r="D98" s="4"/>
      <c r="I98" s="4"/>
      <c r="O98" s="4"/>
      <c r="Q98" s="4"/>
    </row>
    <row r="99" spans="2:17" x14ac:dyDescent="0.2">
      <c r="B99" s="4"/>
      <c r="C99" s="4"/>
      <c r="D99" s="4"/>
      <c r="I99" s="4"/>
      <c r="O99" s="4"/>
      <c r="Q99" s="4"/>
    </row>
    <row r="100" spans="2:17" x14ac:dyDescent="0.2">
      <c r="B100" s="4"/>
      <c r="C100" s="4"/>
      <c r="D100" s="4"/>
      <c r="I100" s="4"/>
      <c r="O100" s="4"/>
      <c r="Q10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pH6(2)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Elizabeth</dc:creator>
  <cp:lastModifiedBy>Phillips, Elizabeth</cp:lastModifiedBy>
  <dcterms:created xsi:type="dcterms:W3CDTF">2026-07-24T15:06:03Z</dcterms:created>
  <dcterms:modified xsi:type="dcterms:W3CDTF">2026-07-24T15:07:04Z</dcterms:modified>
</cp:coreProperties>
</file>